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na.cxoliveira7\OneDrive - SENAC - SP\Projeto vba\"/>
    </mc:Choice>
  </mc:AlternateContent>
  <xr:revisionPtr revIDLastSave="0" documentId="13_ncr:1_{F754E4B3-DCAE-4D19-B58D-33B07C256857}" xr6:coauthVersionLast="47" xr6:coauthVersionMax="47" xr10:uidLastSave="{00000000-0000-0000-0000-000000000000}"/>
  <bookViews>
    <workbookView xWindow="-120" yWindow="-120" windowWidth="24240" windowHeight="13140" tabRatio="776" activeTab="6" xr2:uid="{00000000-000D-0000-FFFF-FFFF00000000}"/>
  </bookViews>
  <sheets>
    <sheet name="Sistema" sheetId="1" r:id="rId1"/>
    <sheet name="Docente" sheetId="11" r:id="rId2"/>
    <sheet name="Sala " sheetId="12" r:id="rId3"/>
    <sheet name="Curso" sheetId="13" r:id="rId4"/>
    <sheet name="Turma" sheetId="5" r:id="rId5"/>
    <sheet name="UC" sheetId="9" r:id="rId6"/>
    <sheet name="Aula" sheetId="6" r:id="rId7"/>
    <sheet name="Relatorio Mapa Docente" sheetId="8" r:id="rId8"/>
    <sheet name="Calendário Aula" sheetId="7" r:id="rId9"/>
    <sheet name="Planilha1" sheetId="10" r:id="rId10"/>
  </sheets>
  <externalReferences>
    <externalReference r:id="rId11"/>
  </externalReferences>
  <definedNames>
    <definedName name="_xlnm._FilterDatabase" localSheetId="6" hidden="1">Aula!$A:$J</definedName>
    <definedName name="_xlnm._FilterDatabase" localSheetId="8" hidden="1">'Calendário Aula'!$I$2:$J$4</definedName>
    <definedName name="_xlnm._FilterDatabase" localSheetId="7" hidden="1">'Relatorio Mapa Docente'!$L$3:$N$4</definedName>
    <definedName name="_xlnm.Extract" localSheetId="8">'Calendário Aula'!$J$2:$J$4</definedName>
    <definedName name="_xlnm.Extract" localSheetId="7">'Relatorio Mapa Docente'!$A$1:$J$1</definedName>
    <definedName name="_xlnm.Criteria" localSheetId="8">'Calendário Aula'!$A$1</definedName>
    <definedName name="_xlnm.Criteria" localSheetId="7">'Relatorio Mapa Docente'!$L$3:$N$4</definedName>
    <definedName name="Cursos">Planilha1!$B:$B</definedName>
    <definedName name="Docentes">Planilha1!$A:$A</definedName>
    <definedName name="horario">Planilha1!$E:$E</definedName>
    <definedName name="Períodos">Planilha1!$C:$C</definedName>
    <definedName name="Unidades">Planilha1!$D:$D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6" l="1"/>
  <c r="J4" i="6"/>
  <c r="J5" i="6"/>
  <c r="J6" i="6"/>
  <c r="J7" i="6"/>
  <c r="J8" i="6"/>
  <c r="J2" i="6"/>
  <c r="I3" i="6"/>
  <c r="I4" i="6"/>
  <c r="I5" i="6"/>
  <c r="I6" i="6"/>
  <c r="I7" i="6"/>
  <c r="I8" i="6"/>
  <c r="I2" i="6"/>
</calcChain>
</file>

<file path=xl/sharedStrings.xml><?xml version="1.0" encoding="utf-8"?>
<sst xmlns="http://schemas.openxmlformats.org/spreadsheetml/2006/main" count="156" uniqueCount="55">
  <si>
    <t>Sistema de controle mapa Docentes</t>
  </si>
  <si>
    <t>Código</t>
  </si>
  <si>
    <t>Nome</t>
  </si>
  <si>
    <t>Registro Interno</t>
  </si>
  <si>
    <t>Celular</t>
  </si>
  <si>
    <t>Capacidade</t>
  </si>
  <si>
    <t>Tipo</t>
  </si>
  <si>
    <t>Período</t>
  </si>
  <si>
    <t>Curso</t>
  </si>
  <si>
    <t>Docente</t>
  </si>
  <si>
    <t>Turma</t>
  </si>
  <si>
    <t>Unidade</t>
  </si>
  <si>
    <t>Email</t>
  </si>
  <si>
    <t>Nome/Numero</t>
  </si>
  <si>
    <t>Carga Horária</t>
  </si>
  <si>
    <t>Sala</t>
  </si>
  <si>
    <t>FILTRO</t>
  </si>
  <si>
    <t>Mês</t>
  </si>
  <si>
    <t>Data</t>
  </si>
  <si>
    <t>Área</t>
  </si>
  <si>
    <t>Periodo</t>
  </si>
  <si>
    <t>Jesus</t>
  </si>
  <si>
    <t>Law</t>
  </si>
  <si>
    <t>Leandro</t>
  </si>
  <si>
    <t>Técnico em Informática</t>
  </si>
  <si>
    <t>Segurança do Trabalho</t>
  </si>
  <si>
    <t>Podologia</t>
  </si>
  <si>
    <t>Noite</t>
  </si>
  <si>
    <t>Manhã</t>
  </si>
  <si>
    <t>Tarde</t>
  </si>
  <si>
    <t>Luiz Faccini</t>
  </si>
  <si>
    <t>Padre Celestino</t>
  </si>
  <si>
    <t>Joao</t>
  </si>
  <si>
    <t/>
  </si>
  <si>
    <t>Felipe</t>
  </si>
  <si>
    <t>20/10/2023</t>
  </si>
  <si>
    <t>1196986</t>
  </si>
  <si>
    <t>felipe@gmail</t>
  </si>
  <si>
    <t>TI</t>
  </si>
  <si>
    <t>N11</t>
  </si>
  <si>
    <t>50</t>
  </si>
  <si>
    <t>Reuniao</t>
  </si>
  <si>
    <t>N15</t>
  </si>
  <si>
    <t>SSSSSSSS</t>
  </si>
  <si>
    <t>00001</t>
  </si>
  <si>
    <t>n9</t>
  </si>
  <si>
    <t>Ano</t>
  </si>
  <si>
    <t>Aula</t>
  </si>
  <si>
    <t>mês</t>
  </si>
  <si>
    <t>lili</t>
  </si>
  <si>
    <t>lala</t>
  </si>
  <si>
    <t>100 horas</t>
  </si>
  <si>
    <t>150 horas</t>
  </si>
  <si>
    <t>200 horas</t>
  </si>
  <si>
    <t>n8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</si>
</sst>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2" fillId="3" borderId="0" applyNumberFormat="0" applyBorder="0" applyAlignment="0" applyProtection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1" xfId="1" applyBorder="1"/>
    <xf numFmtId="0" fontId="2" fillId="3" borderId="1" xfId="2" applyBorder="1"/>
    <xf numFmtId="14" fontId="0" fillId="0" borderId="0" xfId="0" applyNumberFormat="1"/>
  </cellXfs>
  <cellStyles count="3">
    <cellStyle name="20% - Ênfase1" xfId="2" builtinId="30"/>
    <cellStyle name="Ênfase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513990</xdr:colOff>
      <xdr:row>1</xdr:row>
      <xdr:rowOff>68292</xdr:rowOff>
    </xdr:from>
    <xdr:to>
      <xdr:col>3</xdr:col>
      <xdr:colOff>136585</xdr:colOff>
      <xdr:row>2</xdr:row>
      <xdr:rowOff>186906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3990" y="258792"/>
          <a:ext cx="1455708" cy="30911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 Docente</a:t>
          </a:r>
        </a:p>
      </xdr:txBody>
    </xdr:sp>
    <xdr:clientData/>
  </xdr:twoCellAnchor>
  <xdr:twoCellAnchor>
    <xdr:from>
      <xdr:col>0</xdr:col>
      <xdr:colOff>513990</xdr:colOff>
      <xdr:row>3</xdr:row>
      <xdr:rowOff>100641</xdr:rowOff>
    </xdr:from>
    <xdr:to>
      <xdr:col>3</xdr:col>
      <xdr:colOff>136585</xdr:colOff>
      <xdr:row>5</xdr:row>
      <xdr:rowOff>28755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3990" y="672141"/>
          <a:ext cx="1455708" cy="30911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 Sala</a:t>
          </a:r>
        </a:p>
      </xdr:txBody>
    </xdr:sp>
    <xdr:clientData/>
  </xdr:twoCellAnchor>
  <xdr:twoCellAnchor>
    <xdr:from>
      <xdr:col>0</xdr:col>
      <xdr:colOff>513990</xdr:colOff>
      <xdr:row>5</xdr:row>
      <xdr:rowOff>176122</xdr:rowOff>
    </xdr:from>
    <xdr:to>
      <xdr:col>3</xdr:col>
      <xdr:colOff>136585</xdr:colOff>
      <xdr:row>7</xdr:row>
      <xdr:rowOff>104236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13990" y="1128622"/>
          <a:ext cx="1455708" cy="30911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 Curso</a:t>
          </a:r>
        </a:p>
      </xdr:txBody>
    </xdr:sp>
    <xdr:clientData/>
  </xdr:twoCellAnchor>
  <xdr:twoCellAnchor>
    <xdr:from>
      <xdr:col>0</xdr:col>
      <xdr:colOff>513990</xdr:colOff>
      <xdr:row>8</xdr:row>
      <xdr:rowOff>43131</xdr:rowOff>
    </xdr:from>
    <xdr:to>
      <xdr:col>3</xdr:col>
      <xdr:colOff>136585</xdr:colOff>
      <xdr:row>9</xdr:row>
      <xdr:rowOff>161745</xdr:rowOff>
    </xdr:to>
    <xdr:sp macro="[0]!abrirturm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13990" y="1567131"/>
          <a:ext cx="1451395" cy="30911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 Turma</a:t>
          </a:r>
        </a:p>
      </xdr:txBody>
    </xdr:sp>
    <xdr:clientData/>
  </xdr:twoCellAnchor>
  <xdr:twoCellAnchor>
    <xdr:from>
      <xdr:col>3</xdr:col>
      <xdr:colOff>294736</xdr:colOff>
      <xdr:row>1</xdr:row>
      <xdr:rowOff>50320</xdr:rowOff>
    </xdr:from>
    <xdr:to>
      <xdr:col>5</xdr:col>
      <xdr:colOff>528368</xdr:colOff>
      <xdr:row>2</xdr:row>
      <xdr:rowOff>168934</xdr:rowOff>
    </xdr:to>
    <xdr:sp macro="[0]!abrirUC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127849" y="240820"/>
          <a:ext cx="1455708" cy="30911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 UC</a:t>
          </a:r>
        </a:p>
      </xdr:txBody>
    </xdr:sp>
    <xdr:clientData/>
  </xdr:twoCellAnchor>
  <xdr:twoCellAnchor>
    <xdr:from>
      <xdr:col>3</xdr:col>
      <xdr:colOff>294736</xdr:colOff>
      <xdr:row>3</xdr:row>
      <xdr:rowOff>111424</xdr:rowOff>
    </xdr:from>
    <xdr:to>
      <xdr:col>5</xdr:col>
      <xdr:colOff>528368</xdr:colOff>
      <xdr:row>5</xdr:row>
      <xdr:rowOff>39538</xdr:rowOff>
    </xdr:to>
    <xdr:sp macro="[0]!Abriraula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127849" y="682924"/>
          <a:ext cx="1455708" cy="30911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 Aula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506186</xdr:colOff>
      <xdr:row>5</xdr:row>
      <xdr:rowOff>6569</xdr:rowOff>
    </xdr:from>
    <xdr:to>
      <xdr:col>9</xdr:col>
      <xdr:colOff>517071</xdr:colOff>
      <xdr:row>6</xdr:row>
      <xdr:rowOff>44858</xdr:rowOff>
    </xdr:to>
    <xdr:sp macro="[1]!abrirDocente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984703" y="959069"/>
          <a:ext cx="1232713" cy="22878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Cadastro Docente</a:t>
          </a:r>
          <a:endParaRPr lang="pt-BR">
            <a:effectLst/>
          </a:endParaRPr>
        </a:p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55934</xdr:colOff>
      <xdr:row>0</xdr:row>
      <xdr:rowOff>36479</xdr:rowOff>
    </xdr:from>
    <xdr:to>
      <xdr:col>5</xdr:col>
      <xdr:colOff>197389</xdr:colOff>
      <xdr:row>4</xdr:row>
      <xdr:rowOff>101250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08784" y="36479"/>
          <a:ext cx="1122530" cy="8267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Sala Aula</a:t>
          </a:r>
        </a:p>
        <a:p>
          <a:pPr algn="l"/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Laboratório</a:t>
          </a:r>
        </a:p>
        <a:p>
          <a:pPr algn="l"/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Lab Informática</a:t>
          </a:r>
        </a:p>
        <a:p>
          <a:pPr algn="l"/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Lab Estética</a:t>
          </a:r>
        </a:p>
        <a:p>
          <a:pPr algn="l"/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Reunião</a:t>
          </a:r>
        </a:p>
        <a:p>
          <a:pPr algn="l"/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Auditório</a:t>
          </a:r>
        </a:p>
      </xdr:txBody>
    </xdr:sp>
    <xdr:clientData/>
  </xdr:twoCellAnchor>
  <xdr:twoCellAnchor>
    <xdr:from>
      <xdr:col>4</xdr:col>
      <xdr:colOff>60798</xdr:colOff>
      <xdr:row>5</xdr:row>
      <xdr:rowOff>24317</xdr:rowOff>
    </xdr:from>
    <xdr:to>
      <xdr:col>4</xdr:col>
      <xdr:colOff>879543</xdr:colOff>
      <xdr:row>6</xdr:row>
      <xdr:rowOff>56743</xdr:rowOff>
    </xdr:to>
    <xdr:sp macro="[1]!abrirCadastroSala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813648" y="976817"/>
          <a:ext cx="818745" cy="22292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600"/>
            <a:t>CADASTRO SALA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62932</xdr:colOff>
      <xdr:row>5</xdr:row>
      <xdr:rowOff>7656</xdr:rowOff>
    </xdr:from>
    <xdr:to>
      <xdr:col>5</xdr:col>
      <xdr:colOff>253433</xdr:colOff>
      <xdr:row>6</xdr:row>
      <xdr:rowOff>4254</xdr:rowOff>
    </xdr:to>
    <xdr:sp macro="[1]!AbrirCadastroCurs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272857" y="960156"/>
          <a:ext cx="800101" cy="18709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600"/>
            <a:t>CADASTRO CURSO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0</xdr:row>
      <xdr:rowOff>180975</xdr:rowOff>
    </xdr:from>
    <xdr:to>
      <xdr:col>7</xdr:col>
      <xdr:colOff>314325</xdr:colOff>
      <xdr:row>2</xdr:row>
      <xdr:rowOff>114300</xdr:rowOff>
    </xdr:to>
    <xdr:sp macro="[0]!abrirturm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724275" y="180975"/>
          <a:ext cx="85725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Turma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38099</xdr:colOff>
      <xdr:row>1</xdr:row>
      <xdr:rowOff>47625</xdr:rowOff>
    </xdr:from>
    <xdr:to>
      <xdr:col>11</xdr:col>
      <xdr:colOff>180974</xdr:colOff>
      <xdr:row>2</xdr:row>
      <xdr:rowOff>114300</xdr:rowOff>
    </xdr:to>
    <xdr:sp macro="[0]!abrirUC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486649" y="238125"/>
          <a:ext cx="752475" cy="2571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UC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285750</xdr:colOff>
      <xdr:row>2</xdr:row>
      <xdr:rowOff>28575</xdr:rowOff>
    </xdr:from>
    <xdr:to>
      <xdr:col>12</xdr:col>
      <xdr:colOff>419100</xdr:colOff>
      <xdr:row>3</xdr:row>
      <xdr:rowOff>133350</xdr:rowOff>
    </xdr:to>
    <xdr:sp macro="[0]!Abriraul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353425" y="409575"/>
          <a:ext cx="742950" cy="295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Aula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4</xdr:row>
          <xdr:rowOff>152400</xdr:rowOff>
        </xdr:from>
        <xdr:to>
          <xdr:col>16</xdr:col>
          <xdr:colOff>533400</xdr:colOff>
          <xdr:row>6</xdr:row>
          <xdr:rowOff>38100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6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a.cxoliveira7\Downloads\MiniProjeto%20Felipe.xlsm" TargetMode="External"/><Relationship Id="rId1" Type="http://schemas.openxmlformats.org/officeDocument/2006/relationships/externalLinkPath" Target="file:///C:\Users\ana.cxoliveira7\Downloads\MiniProjeto%20Felip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istema"/>
      <sheetName val="Docente"/>
      <sheetName val="Sala"/>
      <sheetName val="Curso"/>
      <sheetName val="Turma"/>
      <sheetName val="UC"/>
      <sheetName val="Aula"/>
      <sheetName val="Relatório Mapa docente"/>
      <sheetName val="Calendário Aula"/>
      <sheetName val="MiniProjeto Felipe"/>
    </sheetNames>
    <definedNames>
      <definedName name="AbrirCadastroCurso"/>
      <definedName name="abrirCadastroSala"/>
      <definedName name="abrirDocente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topLeftCell="A2" zoomScaleNormal="100" workbookViewId="0">
      <selection activeCell="E13" sqref="E13"/>
    </sheetView>
  </sheetViews>
  <sheetFormatPr defaultRowHeight="15" x14ac:dyDescent="0.25"/>
  <sheetData>
    <row r="1" spans="1:1" x14ac:dyDescent="0.25">
      <c r="A1" t="s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A22B-8689-4B82-9CCF-1232EB9D546E}">
  <sheetPr codeName="Planilha11"/>
  <dimension ref="A1:F5"/>
  <sheetViews>
    <sheetView zoomScale="145" zoomScaleNormal="145" workbookViewId="0">
      <selection activeCell="I10" sqref="I10"/>
    </sheetView>
  </sheetViews>
  <sheetFormatPr defaultRowHeight="15" x14ac:dyDescent="0.25"/>
  <cols>
    <col min="1" max="1" width="9.42578125" bestFit="1" customWidth="1"/>
    <col min="2" max="2" width="9.140625" customWidth="1"/>
    <col min="3" max="3" width="16.5703125" customWidth="1"/>
    <col min="4" max="4" width="13.42578125" bestFit="1" customWidth="1"/>
    <col min="5" max="5" width="17" bestFit="1" customWidth="1"/>
    <col min="6" max="6" width="7.42578125" bestFit="1" customWidth="1"/>
  </cols>
  <sheetData>
    <row r="1" spans="1:6" x14ac:dyDescent="0.25">
      <c r="A1" s="4" t="s">
        <v>1</v>
      </c>
      <c r="B1" s="4" t="s">
        <v>2</v>
      </c>
      <c r="C1" s="4" t="s">
        <v>3</v>
      </c>
      <c r="D1" s="4" t="s">
        <v>4</v>
      </c>
      <c r="E1" s="4" t="s">
        <v>12</v>
      </c>
      <c r="F1" s="4" t="s">
        <v>19</v>
      </c>
    </row>
    <row r="2" spans="1:6" x14ac:dyDescent="0.25">
      <c r="A2" s="5">
        <v>1</v>
      </c>
      <c r="B2" s="5" t="s">
        <v>32</v>
      </c>
      <c r="C2" s="5" t="s">
        <v>33</v>
      </c>
      <c r="D2" s="5" t="s">
        <v>33</v>
      </c>
      <c r="E2" s="5" t="s">
        <v>33</v>
      </c>
      <c r="F2" s="5" t="s">
        <v>33</v>
      </c>
    </row>
    <row r="3" spans="1:6" x14ac:dyDescent="0.25">
      <c r="A3" s="5">
        <v>2</v>
      </c>
      <c r="B3" s="5" t="s">
        <v>34</v>
      </c>
      <c r="C3" s="5" t="s">
        <v>35</v>
      </c>
      <c r="D3" s="5" t="s">
        <v>36</v>
      </c>
      <c r="E3" s="5" t="s">
        <v>37</v>
      </c>
      <c r="F3" s="5" t="s">
        <v>38</v>
      </c>
    </row>
    <row r="4" spans="1:6" x14ac:dyDescent="0.25">
      <c r="A4" s="5">
        <v>3</v>
      </c>
      <c r="B4" s="5" t="s">
        <v>34</v>
      </c>
      <c r="C4" s="5" t="s">
        <v>35</v>
      </c>
      <c r="D4" s="5" t="s">
        <v>36</v>
      </c>
      <c r="E4" s="5" t="s">
        <v>37</v>
      </c>
      <c r="F4" s="5" t="s">
        <v>38</v>
      </c>
    </row>
    <row r="5" spans="1:6" x14ac:dyDescent="0.25">
      <c r="A5" s="5">
        <v>5</v>
      </c>
      <c r="B5" s="5" t="s">
        <v>34</v>
      </c>
      <c r="C5" s="5" t="s">
        <v>35</v>
      </c>
      <c r="D5" s="5" t="s">
        <v>36</v>
      </c>
      <c r="E5" s="5" t="s">
        <v>37</v>
      </c>
      <c r="F5" s="5" t="s">
        <v>38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6C652-08AC-45D0-BEC0-D6399590925C}">
  <sheetPr codeName="Planilha12"/>
  <dimension ref="A1:D6"/>
  <sheetViews>
    <sheetView zoomScale="160" zoomScaleNormal="160" workbookViewId="0">
      <selection activeCell="C18" sqref="C18"/>
    </sheetView>
  </sheetViews>
  <sheetFormatPr defaultRowHeight="15" x14ac:dyDescent="0.25"/>
  <cols>
    <col min="2" max="2" width="14.7109375" bestFit="1" customWidth="1"/>
    <col min="3" max="3" width="12.85546875" customWidth="1"/>
    <col min="4" max="4" width="19.5703125" customWidth="1"/>
    <col min="5" max="5" width="14.7109375" bestFit="1" customWidth="1"/>
  </cols>
  <sheetData>
    <row r="1" spans="1:4" x14ac:dyDescent="0.25">
      <c r="A1" s="4" t="s">
        <v>1</v>
      </c>
      <c r="B1" s="4" t="s">
        <v>13</v>
      </c>
      <c r="C1" s="4" t="s">
        <v>5</v>
      </c>
      <c r="D1" s="4" t="s">
        <v>6</v>
      </c>
    </row>
    <row r="2" spans="1:4" x14ac:dyDescent="0.25">
      <c r="A2" s="5">
        <v>1</v>
      </c>
      <c r="B2" s="5" t="s">
        <v>39</v>
      </c>
      <c r="C2" s="5" t="s">
        <v>40</v>
      </c>
      <c r="D2" s="5" t="s">
        <v>41</v>
      </c>
    </row>
    <row r="3" spans="1:4" x14ac:dyDescent="0.25">
      <c r="A3" s="5">
        <v>2</v>
      </c>
      <c r="B3" s="5" t="s">
        <v>42</v>
      </c>
      <c r="C3" s="5" t="s">
        <v>33</v>
      </c>
      <c r="D3" s="5" t="s">
        <v>33</v>
      </c>
    </row>
    <row r="4" spans="1:4" x14ac:dyDescent="0.25">
      <c r="A4" s="5"/>
      <c r="B4" s="5"/>
      <c r="C4" s="5"/>
      <c r="D4" s="5"/>
    </row>
    <row r="5" spans="1:4" x14ac:dyDescent="0.25">
      <c r="A5" s="5"/>
      <c r="B5" s="5"/>
      <c r="C5" s="5"/>
      <c r="D5" s="5"/>
    </row>
    <row r="6" spans="1:4" x14ac:dyDescent="0.25">
      <c r="A6" s="5"/>
      <c r="B6" s="5"/>
      <c r="C6" s="5"/>
      <c r="D6" s="5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4C6D2-4A01-49F5-A342-45EEA8BDA781}">
  <sheetPr codeName="Planilha13"/>
  <dimension ref="A1:D6"/>
  <sheetViews>
    <sheetView zoomScale="160" zoomScaleNormal="160" workbookViewId="0">
      <selection activeCell="C17" sqref="C17"/>
    </sheetView>
  </sheetViews>
  <sheetFormatPr defaultRowHeight="15" x14ac:dyDescent="0.25"/>
  <cols>
    <col min="3" max="3" width="15.42578125" bestFit="1" customWidth="1"/>
    <col min="4" max="4" width="14.42578125" customWidth="1"/>
  </cols>
  <sheetData>
    <row r="1" spans="1:4" x14ac:dyDescent="0.25">
      <c r="A1" s="4" t="s">
        <v>1</v>
      </c>
      <c r="B1" s="4" t="s">
        <v>2</v>
      </c>
      <c r="C1" s="4" t="s">
        <v>3</v>
      </c>
      <c r="D1" s="4" t="s">
        <v>14</v>
      </c>
    </row>
    <row r="2" spans="1:4" x14ac:dyDescent="0.25">
      <c r="A2" s="5">
        <v>2</v>
      </c>
      <c r="B2" s="5" t="s">
        <v>43</v>
      </c>
      <c r="C2" s="5" t="s">
        <v>44</v>
      </c>
      <c r="D2" s="5">
        <v>60</v>
      </c>
    </row>
    <row r="3" spans="1:4" x14ac:dyDescent="0.25">
      <c r="A3" s="5"/>
      <c r="B3" s="5"/>
      <c r="C3" s="5"/>
      <c r="D3" s="5"/>
    </row>
    <row r="4" spans="1:4" x14ac:dyDescent="0.25">
      <c r="A4" s="5"/>
      <c r="B4" s="5"/>
      <c r="C4" s="5"/>
      <c r="D4" s="5"/>
    </row>
    <row r="5" spans="1:4" x14ac:dyDescent="0.25">
      <c r="A5" s="5"/>
      <c r="B5" s="5"/>
      <c r="C5" s="5"/>
      <c r="D5" s="5"/>
    </row>
    <row r="6" spans="1:4" x14ac:dyDescent="0.25">
      <c r="A6" s="5"/>
      <c r="B6" s="5"/>
      <c r="C6" s="5"/>
      <c r="D6" s="5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D7"/>
  <sheetViews>
    <sheetView zoomScaleNormal="100" workbookViewId="0">
      <selection activeCell="F6" sqref="F6"/>
    </sheetView>
  </sheetViews>
  <sheetFormatPr defaultRowHeight="15" x14ac:dyDescent="0.25"/>
  <cols>
    <col min="3" max="3" width="22" bestFit="1" customWidth="1"/>
  </cols>
  <sheetData>
    <row r="1" spans="1:4" x14ac:dyDescent="0.25">
      <c r="A1" s="3" t="s">
        <v>1</v>
      </c>
      <c r="B1" s="3" t="s">
        <v>2</v>
      </c>
      <c r="C1" s="3" t="s">
        <v>8</v>
      </c>
      <c r="D1" s="3" t="s">
        <v>7</v>
      </c>
    </row>
    <row r="2" spans="1:4" x14ac:dyDescent="0.25">
      <c r="A2">
        <v>1</v>
      </c>
      <c r="B2" s="3" t="s">
        <v>49</v>
      </c>
      <c r="C2" s="3" t="s">
        <v>24</v>
      </c>
      <c r="D2" s="3" t="s">
        <v>27</v>
      </c>
    </row>
    <row r="3" spans="1:4" x14ac:dyDescent="0.25">
      <c r="B3" s="3"/>
      <c r="C3" s="3"/>
      <c r="D3" s="3"/>
    </row>
    <row r="4" spans="1:4" x14ac:dyDescent="0.25">
      <c r="B4" s="3"/>
      <c r="C4" s="3"/>
      <c r="D4" s="3"/>
    </row>
    <row r="5" spans="1:4" x14ac:dyDescent="0.25">
      <c r="B5" s="3"/>
      <c r="C5" s="3"/>
      <c r="D5" s="3"/>
    </row>
    <row r="6" spans="1:4" x14ac:dyDescent="0.25">
      <c r="B6" s="3"/>
      <c r="C6" s="3"/>
      <c r="D6" s="3"/>
    </row>
    <row r="7" spans="1:4" x14ac:dyDescent="0.25">
      <c r="B7" s="3"/>
      <c r="C7" s="3"/>
      <c r="D7" s="3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D2"/>
  <sheetViews>
    <sheetView zoomScaleNormal="100" workbookViewId="0">
      <selection activeCell="G17" sqref="G17"/>
    </sheetView>
  </sheetViews>
  <sheetFormatPr defaultRowHeight="15" x14ac:dyDescent="0.25"/>
  <cols>
    <col min="2" max="2" width="11.7109375" customWidth="1"/>
    <col min="3" max="3" width="22" bestFit="1" customWidth="1"/>
    <col min="4" max="4" width="14" customWidth="1"/>
  </cols>
  <sheetData>
    <row r="1" spans="1:4" x14ac:dyDescent="0.25">
      <c r="A1" t="s">
        <v>1</v>
      </c>
      <c r="B1" s="3" t="s">
        <v>2</v>
      </c>
      <c r="C1" s="3" t="s">
        <v>8</v>
      </c>
      <c r="D1" s="3" t="s">
        <v>14</v>
      </c>
    </row>
    <row r="2" spans="1:4" x14ac:dyDescent="0.25">
      <c r="A2">
        <v>1</v>
      </c>
      <c r="B2" t="s">
        <v>50</v>
      </c>
      <c r="C2" t="s">
        <v>24</v>
      </c>
      <c r="D2" t="s">
        <v>51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J19"/>
  <sheetViews>
    <sheetView tabSelected="1" zoomScaleNormal="100" workbookViewId="0">
      <selection activeCell="J13" sqref="J13"/>
    </sheetView>
  </sheetViews>
  <sheetFormatPr defaultRowHeight="15" x14ac:dyDescent="0.25"/>
  <cols>
    <col min="2" max="2" width="13.140625" customWidth="1"/>
    <col min="5" max="5" width="22" bestFit="1" customWidth="1"/>
    <col min="7" max="7" width="15.140625" bestFit="1" customWidth="1"/>
  </cols>
  <sheetData>
    <row r="1" spans="1:10" x14ac:dyDescent="0.25">
      <c r="A1" t="s">
        <v>1</v>
      </c>
      <c r="B1" s="3" t="s">
        <v>18</v>
      </c>
      <c r="C1" t="s">
        <v>9</v>
      </c>
      <c r="D1" s="3" t="s">
        <v>15</v>
      </c>
      <c r="E1" s="2" t="s">
        <v>8</v>
      </c>
      <c r="F1" s="3" t="s">
        <v>10</v>
      </c>
      <c r="G1" s="3" t="s">
        <v>20</v>
      </c>
      <c r="H1" s="3" t="s">
        <v>11</v>
      </c>
      <c r="I1" s="3" t="s">
        <v>17</v>
      </c>
      <c r="J1" s="3" t="s">
        <v>46</v>
      </c>
    </row>
    <row r="2" spans="1:10" x14ac:dyDescent="0.25">
      <c r="A2">
        <v>1</v>
      </c>
      <c r="B2" s="6">
        <v>45210</v>
      </c>
      <c r="C2" s="2" t="s">
        <v>21</v>
      </c>
      <c r="D2" s="2">
        <v>204</v>
      </c>
      <c r="E2" s="2" t="s">
        <v>24</v>
      </c>
      <c r="F2" s="2" t="s">
        <v>54</v>
      </c>
      <c r="G2" s="2" t="s">
        <v>30</v>
      </c>
      <c r="H2" s="2" t="s">
        <v>27</v>
      </c>
      <c r="I2">
        <f>MONTH(B2)</f>
        <v>10</v>
      </c>
      <c r="J2">
        <f>YEAR(B2)</f>
        <v>2023</v>
      </c>
    </row>
    <row r="3" spans="1:10" x14ac:dyDescent="0.25">
      <c r="A3">
        <v>2</v>
      </c>
      <c r="B3" s="6">
        <v>45211</v>
      </c>
      <c r="C3" s="2" t="s">
        <v>22</v>
      </c>
      <c r="D3" s="2">
        <v>201</v>
      </c>
      <c r="E3" s="2" t="s">
        <v>24</v>
      </c>
      <c r="F3" s="2" t="s">
        <v>45</v>
      </c>
      <c r="G3" s="2" t="s">
        <v>30</v>
      </c>
      <c r="H3" s="2" t="s">
        <v>27</v>
      </c>
      <c r="I3">
        <f t="shared" ref="I3:I8" si="0">MONTH(B3)</f>
        <v>10</v>
      </c>
      <c r="J3">
        <f t="shared" ref="J3:J8" si="1">YEAR(B3)</f>
        <v>2023</v>
      </c>
    </row>
    <row r="4" spans="1:10" x14ac:dyDescent="0.25">
      <c r="A4">
        <v>3</v>
      </c>
      <c r="B4" s="6">
        <v>45212</v>
      </c>
      <c r="C4" s="2" t="s">
        <v>22</v>
      </c>
      <c r="D4" s="2">
        <v>202</v>
      </c>
      <c r="E4" s="2" t="s">
        <v>24</v>
      </c>
      <c r="F4" s="2" t="s">
        <v>45</v>
      </c>
      <c r="G4" s="2" t="s">
        <v>30</v>
      </c>
      <c r="H4" s="2" t="s">
        <v>27</v>
      </c>
      <c r="I4">
        <f t="shared" si="0"/>
        <v>10</v>
      </c>
      <c r="J4">
        <f t="shared" si="1"/>
        <v>2023</v>
      </c>
    </row>
    <row r="5" spans="1:10" x14ac:dyDescent="0.25">
      <c r="A5">
        <v>4</v>
      </c>
      <c r="B5" s="6">
        <v>45213</v>
      </c>
      <c r="C5" s="2" t="s">
        <v>22</v>
      </c>
      <c r="D5" s="2">
        <v>203</v>
      </c>
      <c r="E5" s="2" t="s">
        <v>24</v>
      </c>
      <c r="F5" s="2" t="s">
        <v>54</v>
      </c>
      <c r="G5" s="2" t="s">
        <v>30</v>
      </c>
      <c r="H5" s="2" t="s">
        <v>27</v>
      </c>
      <c r="I5">
        <f t="shared" si="0"/>
        <v>10</v>
      </c>
      <c r="J5">
        <f t="shared" si="1"/>
        <v>2023</v>
      </c>
    </row>
    <row r="6" spans="1:10" x14ac:dyDescent="0.25">
      <c r="A6">
        <v>5</v>
      </c>
      <c r="B6" s="6">
        <v>45214</v>
      </c>
      <c r="C6" s="2" t="s">
        <v>22</v>
      </c>
      <c r="D6" s="2">
        <v>204</v>
      </c>
      <c r="E6" s="2" t="s">
        <v>24</v>
      </c>
      <c r="F6" s="2" t="s">
        <v>45</v>
      </c>
      <c r="G6" s="2" t="s">
        <v>30</v>
      </c>
      <c r="H6" s="2" t="s">
        <v>27</v>
      </c>
      <c r="I6">
        <f t="shared" si="0"/>
        <v>10</v>
      </c>
      <c r="J6">
        <f t="shared" si="1"/>
        <v>2023</v>
      </c>
    </row>
    <row r="7" spans="1:10" x14ac:dyDescent="0.25">
      <c r="A7">
        <v>6</v>
      </c>
      <c r="B7" s="6">
        <v>45215</v>
      </c>
      <c r="C7" s="2" t="s">
        <v>22</v>
      </c>
      <c r="D7" s="2">
        <v>205</v>
      </c>
      <c r="E7" s="2" t="s">
        <v>24</v>
      </c>
      <c r="F7" s="2" t="s">
        <v>45</v>
      </c>
      <c r="G7" s="2" t="s">
        <v>30</v>
      </c>
      <c r="H7" s="2" t="s">
        <v>27</v>
      </c>
      <c r="I7">
        <f t="shared" si="0"/>
        <v>10</v>
      </c>
      <c r="J7">
        <f t="shared" si="1"/>
        <v>2023</v>
      </c>
    </row>
    <row r="8" spans="1:10" x14ac:dyDescent="0.25">
      <c r="A8">
        <v>7</v>
      </c>
      <c r="B8" s="6">
        <v>45216</v>
      </c>
      <c r="C8" s="2" t="s">
        <v>22</v>
      </c>
      <c r="D8" s="2">
        <v>206</v>
      </c>
      <c r="E8" s="2" t="s">
        <v>24</v>
      </c>
      <c r="F8" s="2" t="s">
        <v>54</v>
      </c>
      <c r="G8" s="2" t="s">
        <v>30</v>
      </c>
      <c r="H8" s="2" t="s">
        <v>27</v>
      </c>
      <c r="I8">
        <f t="shared" si="0"/>
        <v>10</v>
      </c>
      <c r="J8">
        <f t="shared" si="1"/>
        <v>2023</v>
      </c>
    </row>
    <row r="9" spans="1:10" x14ac:dyDescent="0.25">
      <c r="B9" s="6"/>
      <c r="C9" s="2"/>
      <c r="D9" s="2"/>
      <c r="E9" s="2"/>
      <c r="F9" s="2"/>
      <c r="G9" s="2"/>
      <c r="H9" s="2"/>
    </row>
    <row r="10" spans="1:10" x14ac:dyDescent="0.25">
      <c r="B10" s="6"/>
      <c r="C10" s="2"/>
      <c r="D10" s="2"/>
      <c r="E10" s="2"/>
      <c r="F10" s="2"/>
      <c r="G10" s="2"/>
      <c r="H10" s="2"/>
    </row>
    <row r="11" spans="1:10" x14ac:dyDescent="0.25">
      <c r="B11" s="6"/>
      <c r="C11" s="2"/>
      <c r="D11" s="2"/>
      <c r="E11" s="2"/>
      <c r="F11" s="2"/>
      <c r="G11" s="2"/>
      <c r="H11" s="2"/>
    </row>
    <row r="12" spans="1:10" x14ac:dyDescent="0.25">
      <c r="B12" s="6"/>
      <c r="C12" s="2"/>
      <c r="D12" s="2"/>
      <c r="E12" s="2"/>
      <c r="F12" s="2"/>
      <c r="G12" s="2"/>
      <c r="H12" s="2"/>
    </row>
    <row r="13" spans="1:10" x14ac:dyDescent="0.25">
      <c r="B13" s="6"/>
      <c r="C13" s="2"/>
      <c r="D13" s="2"/>
      <c r="E13" s="2"/>
      <c r="F13" s="2"/>
      <c r="G13" s="2"/>
      <c r="H13" s="2"/>
    </row>
    <row r="14" spans="1:10" x14ac:dyDescent="0.25">
      <c r="B14" s="6"/>
      <c r="C14" s="2"/>
      <c r="D14" s="2"/>
      <c r="E14" s="2"/>
      <c r="F14" s="2"/>
      <c r="G14" s="2"/>
      <c r="H14" s="2"/>
    </row>
    <row r="15" spans="1:10" x14ac:dyDescent="0.25">
      <c r="B15" s="6"/>
      <c r="C15" s="2"/>
      <c r="D15" s="2"/>
      <c r="E15" s="2"/>
      <c r="F15" s="2"/>
      <c r="G15" s="2"/>
      <c r="H15" s="2"/>
    </row>
    <row r="16" spans="1:10" x14ac:dyDescent="0.25">
      <c r="B16" s="6"/>
      <c r="C16" s="2"/>
      <c r="D16" s="2"/>
      <c r="E16" s="2"/>
      <c r="F16" s="2"/>
      <c r="G16" s="2"/>
      <c r="H16" s="2"/>
    </row>
    <row r="17" spans="2:8" x14ac:dyDescent="0.25">
      <c r="B17" s="6"/>
      <c r="C17" s="2"/>
      <c r="D17" s="2"/>
      <c r="E17" s="2"/>
      <c r="F17" s="2"/>
      <c r="G17" s="2"/>
      <c r="H17" s="2"/>
    </row>
    <row r="18" spans="2:8" x14ac:dyDescent="0.25">
      <c r="B18" s="6"/>
      <c r="C18" s="2"/>
      <c r="D18" s="2"/>
      <c r="E18" s="2"/>
      <c r="F18" s="2"/>
      <c r="G18" s="2"/>
      <c r="H18" s="2"/>
    </row>
    <row r="19" spans="2:8" x14ac:dyDescent="0.25">
      <c r="B19" s="6"/>
      <c r="C19" s="2"/>
      <c r="D19" s="2"/>
      <c r="E19" s="2"/>
      <c r="F19" s="2"/>
      <c r="G19" s="2"/>
      <c r="H19" s="2"/>
    </row>
  </sheetData>
  <phoneticPr fontId="4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N21"/>
  <sheetViews>
    <sheetView zoomScaleNormal="100" workbookViewId="0">
      <selection activeCell="L11" sqref="L11"/>
    </sheetView>
  </sheetViews>
  <sheetFormatPr defaultRowHeight="15" x14ac:dyDescent="0.25"/>
  <cols>
    <col min="2" max="2" width="10.7109375" bestFit="1" customWidth="1"/>
    <col min="5" max="5" width="22" bestFit="1" customWidth="1"/>
    <col min="7" max="7" width="10.85546875" bestFit="1" customWidth="1"/>
  </cols>
  <sheetData>
    <row r="1" spans="1:14" x14ac:dyDescent="0.25">
      <c r="A1" t="s">
        <v>1</v>
      </c>
      <c r="B1" s="3" t="s">
        <v>18</v>
      </c>
      <c r="C1" t="s">
        <v>9</v>
      </c>
      <c r="D1" s="3" t="s">
        <v>15</v>
      </c>
      <c r="E1" s="2" t="s">
        <v>8</v>
      </c>
      <c r="F1" s="3" t="s">
        <v>10</v>
      </c>
      <c r="G1" s="3" t="s">
        <v>20</v>
      </c>
      <c r="H1" s="3" t="s">
        <v>11</v>
      </c>
      <c r="I1" s="3" t="s">
        <v>17</v>
      </c>
      <c r="J1" s="3" t="s">
        <v>46</v>
      </c>
    </row>
    <row r="2" spans="1:14" x14ac:dyDescent="0.25">
      <c r="A2">
        <v>2</v>
      </c>
      <c r="B2" s="6">
        <v>45211</v>
      </c>
      <c r="C2" s="2" t="s">
        <v>22</v>
      </c>
      <c r="D2" s="2">
        <v>201</v>
      </c>
      <c r="E2" s="2" t="s">
        <v>24</v>
      </c>
      <c r="F2" s="2" t="s">
        <v>45</v>
      </c>
      <c r="G2" s="2" t="s">
        <v>30</v>
      </c>
      <c r="H2" s="2" t="s">
        <v>27</v>
      </c>
      <c r="I2">
        <v>10</v>
      </c>
      <c r="J2">
        <v>2023</v>
      </c>
      <c r="L2" t="s">
        <v>16</v>
      </c>
    </row>
    <row r="3" spans="1:14" x14ac:dyDescent="0.25">
      <c r="A3">
        <v>3</v>
      </c>
      <c r="B3" s="6">
        <v>45212</v>
      </c>
      <c r="C3" s="2" t="s">
        <v>22</v>
      </c>
      <c r="D3" s="2">
        <v>202</v>
      </c>
      <c r="E3" s="2" t="s">
        <v>24</v>
      </c>
      <c r="F3" s="2" t="s">
        <v>45</v>
      </c>
      <c r="G3" s="2" t="s">
        <v>30</v>
      </c>
      <c r="H3" s="2" t="s">
        <v>27</v>
      </c>
      <c r="I3">
        <v>10</v>
      </c>
      <c r="J3">
        <v>2023</v>
      </c>
      <c r="L3" t="s">
        <v>17</v>
      </c>
      <c r="M3" t="s">
        <v>10</v>
      </c>
      <c r="N3" t="s">
        <v>46</v>
      </c>
    </row>
    <row r="4" spans="1:14" x14ac:dyDescent="0.25">
      <c r="A4">
        <v>5</v>
      </c>
      <c r="B4" s="6">
        <v>45214</v>
      </c>
      <c r="C4" s="2" t="s">
        <v>22</v>
      </c>
      <c r="D4" s="2">
        <v>204</v>
      </c>
      <c r="E4" s="2" t="s">
        <v>24</v>
      </c>
      <c r="F4" s="2" t="s">
        <v>45</v>
      </c>
      <c r="G4" s="2" t="s">
        <v>30</v>
      </c>
      <c r="H4" s="2" t="s">
        <v>27</v>
      </c>
      <c r="I4">
        <v>10</v>
      </c>
      <c r="J4">
        <v>2023</v>
      </c>
      <c r="L4">
        <v>10</v>
      </c>
      <c r="M4" s="2" t="s">
        <v>54</v>
      </c>
      <c r="N4">
        <v>2023</v>
      </c>
    </row>
    <row r="5" spans="1:14" x14ac:dyDescent="0.25">
      <c r="A5">
        <v>6</v>
      </c>
      <c r="B5" s="6">
        <v>45215</v>
      </c>
      <c r="C5" s="2" t="s">
        <v>22</v>
      </c>
      <c r="D5" s="2">
        <v>205</v>
      </c>
      <c r="E5" s="2" t="s">
        <v>24</v>
      </c>
      <c r="F5" s="2" t="s">
        <v>45</v>
      </c>
      <c r="G5" s="2" t="s">
        <v>30</v>
      </c>
      <c r="H5" s="2" t="s">
        <v>27</v>
      </c>
      <c r="I5">
        <v>10</v>
      </c>
      <c r="J5">
        <v>2023</v>
      </c>
      <c r="M5" s="2"/>
    </row>
    <row r="6" spans="1:14" x14ac:dyDescent="0.25">
      <c r="B6" s="6"/>
      <c r="C6" s="2"/>
      <c r="D6" s="2"/>
      <c r="E6" s="2"/>
      <c r="F6" s="2"/>
      <c r="G6" s="2"/>
      <c r="H6" s="2"/>
      <c r="M6" s="2"/>
    </row>
    <row r="7" spans="1:14" x14ac:dyDescent="0.25">
      <c r="B7" s="6"/>
      <c r="C7" s="2"/>
      <c r="D7" s="2"/>
      <c r="E7" s="2"/>
      <c r="F7" s="2"/>
      <c r="G7" s="2"/>
      <c r="H7" s="2"/>
      <c r="M7" s="2"/>
    </row>
    <row r="8" spans="1:14" x14ac:dyDescent="0.25">
      <c r="B8" s="6"/>
      <c r="C8" s="2"/>
      <c r="D8" s="2"/>
      <c r="E8" s="2"/>
      <c r="F8" s="2"/>
      <c r="G8" s="2"/>
      <c r="H8" s="2"/>
      <c r="M8" s="2"/>
    </row>
    <row r="9" spans="1:14" x14ac:dyDescent="0.25">
      <c r="B9" s="6"/>
      <c r="C9" s="2"/>
      <c r="D9" s="2"/>
      <c r="E9" s="2"/>
      <c r="F9" s="2"/>
      <c r="G9" s="2"/>
      <c r="H9" s="2"/>
      <c r="M9" s="2"/>
    </row>
    <row r="10" spans="1:14" x14ac:dyDescent="0.25">
      <c r="B10" s="6"/>
      <c r="C10" s="2"/>
      <c r="D10" s="2"/>
      <c r="E10" s="2"/>
      <c r="F10" s="2"/>
      <c r="G10" s="2"/>
      <c r="H10" s="2"/>
      <c r="M10" s="2"/>
    </row>
    <row r="11" spans="1:14" x14ac:dyDescent="0.25">
      <c r="B11" s="6"/>
      <c r="C11" s="2"/>
      <c r="D11" s="2"/>
      <c r="E11" s="2"/>
      <c r="F11" s="2"/>
      <c r="G11" s="2"/>
      <c r="H11" s="2"/>
      <c r="M11" s="2"/>
    </row>
    <row r="12" spans="1:14" x14ac:dyDescent="0.25">
      <c r="B12" s="6"/>
      <c r="C12" s="2"/>
      <c r="D12" s="2"/>
      <c r="E12" s="2"/>
      <c r="F12" s="2"/>
      <c r="G12" s="2"/>
      <c r="H12" s="2"/>
      <c r="M12" s="2"/>
    </row>
    <row r="13" spans="1:14" x14ac:dyDescent="0.25">
      <c r="B13" s="6"/>
      <c r="C13" s="2"/>
      <c r="D13" s="2"/>
      <c r="E13" s="2"/>
      <c r="F13" s="2"/>
      <c r="G13" s="2"/>
      <c r="H13" s="2"/>
      <c r="M13" s="2"/>
    </row>
    <row r="14" spans="1:14" x14ac:dyDescent="0.25">
      <c r="B14" s="6"/>
      <c r="C14" s="2"/>
      <c r="D14" s="2"/>
      <c r="E14" s="2"/>
      <c r="F14" s="2"/>
      <c r="G14" s="2"/>
      <c r="H14" s="2"/>
      <c r="M14" s="2"/>
    </row>
    <row r="15" spans="1:14" x14ac:dyDescent="0.25">
      <c r="B15" s="6"/>
      <c r="C15" s="2"/>
      <c r="D15" s="2"/>
      <c r="E15" s="2"/>
      <c r="F15" s="2"/>
      <c r="G15" s="2"/>
      <c r="H15" s="2"/>
      <c r="M15" s="2"/>
    </row>
    <row r="16" spans="1:14" x14ac:dyDescent="0.25">
      <c r="B16" s="6"/>
      <c r="C16" s="2"/>
      <c r="D16" s="2"/>
      <c r="E16" s="2"/>
      <c r="F16" s="2"/>
      <c r="G16" s="2"/>
      <c r="H16" s="2"/>
      <c r="M16" s="2"/>
    </row>
    <row r="17" spans="2:13" x14ac:dyDescent="0.25">
      <c r="B17" s="6"/>
      <c r="C17" s="2"/>
      <c r="D17" s="2"/>
      <c r="E17" s="2"/>
      <c r="F17" s="2"/>
      <c r="G17" s="2"/>
      <c r="H17" s="2"/>
      <c r="M17" s="2"/>
    </row>
    <row r="18" spans="2:13" x14ac:dyDescent="0.25">
      <c r="B18" s="6"/>
      <c r="C18" s="2"/>
      <c r="D18" s="2"/>
      <c r="E18" s="2"/>
      <c r="F18" s="2"/>
      <c r="G18" s="2"/>
      <c r="H18" s="2"/>
      <c r="M18" s="2"/>
    </row>
    <row r="19" spans="2:13" x14ac:dyDescent="0.25">
      <c r="B19" s="6"/>
      <c r="C19" s="2"/>
      <c r="D19" s="2"/>
      <c r="E19" s="2"/>
      <c r="F19" s="2"/>
      <c r="G19" s="2"/>
      <c r="H19" s="2"/>
      <c r="M19" s="2"/>
    </row>
    <row r="20" spans="2:13" x14ac:dyDescent="0.25">
      <c r="M20" s="2"/>
    </row>
    <row r="21" spans="2:13" x14ac:dyDescent="0.25">
      <c r="M21" s="2"/>
    </row>
  </sheetData>
  <phoneticPr fontId="4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2" r:id="rId3" name="Button 6">
              <controlPr defaultSize="0" print="0" autoFill="0" autoPict="0" macro="[0]!filtroteste">
                <anchor moveWithCells="1" sizeWithCells="1">
                  <from>
                    <xdr:col>16</xdr:col>
                    <xdr:colOff>38100</xdr:colOff>
                    <xdr:row>4</xdr:row>
                    <xdr:rowOff>152400</xdr:rowOff>
                  </from>
                  <to>
                    <xdr:col>16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E1"/>
  <sheetViews>
    <sheetView zoomScaleNormal="100" workbookViewId="0">
      <selection activeCell="F3" sqref="F3"/>
    </sheetView>
  </sheetViews>
  <sheetFormatPr defaultRowHeight="15" x14ac:dyDescent="0.25"/>
  <sheetData>
    <row r="1" spans="1:5" x14ac:dyDescent="0.25">
      <c r="A1" t="s">
        <v>16</v>
      </c>
      <c r="B1" t="s">
        <v>9</v>
      </c>
      <c r="C1" t="s">
        <v>48</v>
      </c>
      <c r="D1" t="s">
        <v>20</v>
      </c>
      <c r="E1" t="s">
        <v>47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301A4-BD4E-4868-A013-B5662DAB75D8}">
  <sheetPr codeName="Planilha10"/>
  <dimension ref="A1:E3"/>
  <sheetViews>
    <sheetView workbookViewId="0">
      <selection activeCell="G11" sqref="G11"/>
    </sheetView>
  </sheetViews>
  <sheetFormatPr defaultRowHeight="15" x14ac:dyDescent="0.25"/>
  <cols>
    <col min="2" max="2" width="24.28515625" bestFit="1" customWidth="1"/>
    <col min="4" max="4" width="16.28515625" bestFit="1" customWidth="1"/>
  </cols>
  <sheetData>
    <row r="1" spans="1:5" ht="15.75" x14ac:dyDescent="0.25">
      <c r="A1" s="1" t="s">
        <v>21</v>
      </c>
      <c r="B1" s="1" t="s">
        <v>24</v>
      </c>
      <c r="C1" s="1" t="s">
        <v>28</v>
      </c>
      <c r="D1" s="1" t="s">
        <v>30</v>
      </c>
      <c r="E1" s="1" t="s">
        <v>51</v>
      </c>
    </row>
    <row r="2" spans="1:5" ht="15.75" x14ac:dyDescent="0.25">
      <c r="A2" s="1" t="s">
        <v>22</v>
      </c>
      <c r="B2" s="1" t="s">
        <v>25</v>
      </c>
      <c r="C2" s="1" t="s">
        <v>29</v>
      </c>
      <c r="D2" s="1" t="s">
        <v>31</v>
      </c>
      <c r="E2" s="1" t="s">
        <v>52</v>
      </c>
    </row>
    <row r="3" spans="1:5" ht="15.75" x14ac:dyDescent="0.25">
      <c r="A3" s="1" t="s">
        <v>23</v>
      </c>
      <c r="B3" s="1" t="s">
        <v>26</v>
      </c>
      <c r="C3" s="1" t="s">
        <v>27</v>
      </c>
      <c r="D3" s="1"/>
      <c r="E3" s="1" t="s">
        <v>53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9</vt:i4>
      </vt:variant>
    </vt:vector>
  </HeadingPairs>
  <TitlesOfParts>
    <vt:vector size="19" baseType="lpstr">
      <vt:lpstr>Sistema</vt:lpstr>
      <vt:lpstr>Docente</vt:lpstr>
      <vt:lpstr>Sala </vt:lpstr>
      <vt:lpstr>Curso</vt:lpstr>
      <vt:lpstr>Turma</vt:lpstr>
      <vt:lpstr>UC</vt:lpstr>
      <vt:lpstr>Aula</vt:lpstr>
      <vt:lpstr>Relatorio Mapa Docente</vt:lpstr>
      <vt:lpstr>Calendário Aula</vt:lpstr>
      <vt:lpstr>Planilha1</vt:lpstr>
      <vt:lpstr>'Calendário Aula'!Area_de_extracao</vt:lpstr>
      <vt:lpstr>'Relatorio Mapa Docente'!Area_de_extracao</vt:lpstr>
      <vt:lpstr>'Calendário Aula'!Criterios</vt:lpstr>
      <vt:lpstr>'Relatorio Mapa Docente'!Criterios</vt:lpstr>
      <vt:lpstr>Cursos</vt:lpstr>
      <vt:lpstr>Docentes</vt:lpstr>
      <vt:lpstr>horario</vt:lpstr>
      <vt:lpstr>Períodos</vt:lpstr>
      <vt:lpstr>Unidades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ANA CAROLINE XAVIER DE OLIVEIRA</cp:lastModifiedBy>
  <dcterms:created xsi:type="dcterms:W3CDTF">2023-10-10T22:12:54Z</dcterms:created>
  <dcterms:modified xsi:type="dcterms:W3CDTF">2023-10-21T00:22:54Z</dcterms:modified>
</cp:coreProperties>
</file>